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1370"/>
  </bookViews>
  <sheets>
    <sheet name="立ち差分 (250813)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2" i="1" l="1"/>
  <c r="C41" i="1" s="1"/>
</calcChain>
</file>

<file path=xl/sharedStrings.xml><?xml version="1.0" encoding="utf-8"?>
<sst xmlns="http://schemas.openxmlformats.org/spreadsheetml/2006/main" count="96" uniqueCount="86">
  <si>
    <t>vest without Line decoration,vesｔ without embleam,vest has 3 little gold button ,Blue Big Bow Tie,シャツのボタンはシンプル</t>
    <phoneticPr fontId="6"/>
  </si>
  <si>
    <t>A</t>
    <phoneticPr fontId="6"/>
  </si>
  <si>
    <t>A</t>
    <phoneticPr fontId="6"/>
  </si>
  <si>
    <t>B</t>
    <phoneticPr fontId="6"/>
  </si>
  <si>
    <t>B</t>
    <phoneticPr fontId="6"/>
  </si>
  <si>
    <t>bad anatomy, bad hands, text, error, missing fingers, extra digit, fewer digits, cropped, worst quality, low quality, normal quality, jpeg artifacts, signature, watermark, username, blurry, rough sketch, source_pony, source_cartoon,No hair accessories,Skirt without buttons,nfsw,drink ,can,No clothing pockets,man, 複数ポケット, ワッペン, ライン装飾, 模様入り, 複雑なデザイン, 余計な装飾, 斜めボタン配置, vestの3個以上の多ボタン</t>
    <phoneticPr fontId="6"/>
  </si>
  <si>
    <t>vest without Line decoration,no embleam,  ,bow tie stay</t>
    <phoneticPr fontId="6"/>
  </si>
  <si>
    <t>スコア_9,  最高品質, solo, 1人の女の子,(こげ茶色の背景, 柔らかく均一な照明),(little,babyface,tareme,ロリ,slim,kawaii,子供っぽい),(被写体が見切れない, 被写体にピントが合っている),(髪の毛2色,1個の太い antenna hair,濃い青色の髪,アホ毛,長い髪、ロングストレートヘア,青い色のインナーヘア),(青い瞳), (きれいな白い肌),(白い長袖シャツ,首元に大きな青いリボン,無地で金色のボタン一列の黒いベスト),(一色の青いタイトスカート),fron front,カウボーイショット</t>
    <phoneticPr fontId="6"/>
  </si>
  <si>
    <t>スコア_9,  最高品質,solo,1人の大人の女性 ,(茶色の背景, 柔らかく均一な照明), (深緑の髪,前髪有り,左が長いサイド刈り上げなしのピクシーカット), (緑の目,レッドスリムフレームウェイファーラーグラス), (きれいな白い肌,small breasts),(輝く白い長袖シャツ,首元に大きな緑のリボン),(グリーンビジネスパンツ),(3個の金色のボタンが一列に並んだ無地,ブラックベスト),from front, まっすぐ立っている,カウボーイショット,見開かれた瞳, 驚きで開いた口, 驚きで強張る表情、被写体の目線の構図</t>
    <phoneticPr fontId="6"/>
  </si>
  <si>
    <t>スコア_9,  最高品質,solo,1人の大人の女性, 茶色の背景, 柔らかく均一な照明), 目の高さショット, 視点の一致, 水平な撮影アングル, 正面からの目線, 安定した水平線 , (髪の毛が広がることなく構図にすべて収まる), 引きの構図,マージン確保,立っている,被写体にピントが合っている),(金色の髪,くせのない長い髪,ロングストレートヘア),(金色の瞳), (きれいな白い肌,slim),(白い長袖シャツ,首元に大きな黄色のリボン,(カナリアイエロースカート, 体にフィット,  単色の輝き,しなやかな素材感, 艶のある生地),無地の黒いベスト, 一列の3つ金ボタン,no Line decoration , Vest without emblem),(髪の毛を含む被写体を全てフレーム内に収めた構図:1.4)、バランスの取れた配置、適度な余白, from front,立っている,上半身の構図,満足げな笑顔, 勝ち誇る表情, 片眉上げポーズ, 自信満々な目線, いたずらな微笑み, 得意気な口元, 挑戦的な姿勢, 堂々とした立ち姿,ニーショット</t>
    <phoneticPr fontId="6"/>
  </si>
  <si>
    <t>スコア_9,  最高品質 , solo, 一人の女性 ,( 茶色の背景, 柔らかく均一な照明), (被写体が見切れない, 被写体にピントが合っている), (前髪有り,オレンジ色の髪,赤のシュシュ,肩までの長さのポニーテール), (sharp eyes, upturned eyes,オレンジ色の目,瞳に輝く光),(one fang), (Brown Skin, Athletic, medium breasts), (白い半袖シャツ, 健康的な腕, 首元に大きなオレンジ色のリボン), (オレンジ色のスカート,ボタンの無いフレアスカート), (シンプルな黒ベスト、上質な生地感、縦一列の3つの金ボタン、エレガントなシルエット、ボディラインに沿うフィット感、艶のある黒色),from front, standing,カウボーイショット,目を細めた穏やかな微笑み,赤らめた頬,閉じた口</t>
    <rPh sb="21" eb="23">
      <t>ヒトリ</t>
    </rPh>
    <rPh sb="24" eb="26">
      <t>ジョセイ</t>
    </rPh>
    <phoneticPr fontId="6"/>
  </si>
  <si>
    <t xml:space="preserve"> スコア_9,  最高品質,1人の女の子,(茶色の背景,  柔らかく均一な照明),(tareme,kawaii,子供っぽい),被写体にピントが合っている),(sidelocks,,swept bangs,髪の毛2色,黒色の艶やかな髪,長い髪、黒い色のインナーヘア,姫カット)(濃いグレーの瞳), (きれいな白い肌,スリム,medium breasts),(白い長袖ブラウスで手首がフリル,首元に大きなホワイトリボン),一色のグレータイトスカート,(黒で装飾なしのシンプルベスト, 3つ金ボタン, 無地仕立て, ポケットなし, 縦一列ボタン),被写体の視線の高さのカメラ,立っている,カウボーイショット,照れている,不安そうな表情,上目遣い</t>
    <phoneticPr fontId="6"/>
  </si>
  <si>
    <t>スコア_9, solo, 最高品質,1人の大人の女性,(茶色の背景,柔らかく均一な照明,被写体にピントが合っている),(crossed bangs、肩までの長さの水色の髪,medium wavy hair),（水色の瞳,upturned eyes (tsurime), strong gaze, bold outlines,sexy lip), (きれいな肌,中肉中背,big breast),(白い長そでシャツ,首元に大きな水色のリボン）,（ボタンの無いライトブルーのロングスカート),(三個の金色のボタンが一列に並んだ無地,ブラックベスト)</t>
    <phoneticPr fontId="6"/>
  </si>
  <si>
    <t>スコア_9,  最高品質,solo,一人の女の子,(夏の公園,柔らかく均一な照明),(被写体にピントが合っている),(白色の髪,ツインテール,肩の長さの髪,黒色の瞳), (きれいな肌,中肉中背,little breasts),(白い半そでシャツ,首元に大きな白色のリボン,（白色のスカート),（黒いベスト,ベストのボタンは縦一列で3個の金色ボタン,ワッペンは無し),白色のソックス,茶色いローファー),standing , fullbody ,視聴者を見ている,はじける笑顔、自然なポーズ</t>
    <phoneticPr fontId="6"/>
  </si>
  <si>
    <t>スコア_9,  最高品質,solo,一人の女の子,(灰色の背景,柔らかく均一な照明),(被写体にピントが合っている),(黒色の髪,twintails,肩の長さの髪),(黒い瞳), (褐色の素肌,スリムな体系、medium breasts),(白い半そでシャツ,首元に大きな黒色のリボン,(黒色のスカート),(白色のベスト,ベストのボタンは縦一列で3個の金色ボタン,ワッペンは無し),黒色のソックス,茶色いローファー),standing , カウボーイショット ,視聴者を見ている,</t>
    <phoneticPr fontId="6"/>
  </si>
  <si>
    <t>スコア_9,  最高品質,solo,one woman only,(クレーの背景,柔らかく均一な照明),被写体にピントが合っている),(ピンク色の髪,二つのお団子ヘアー,ピンク色の瞳), (きれいな肌,中肉中背),(白い半そでシャツ,首元に大きなピンク色のリボン,（ピンク色のスカート),（無地の黒いベスト,ベストのボタンは縦一列で3個の金色ボタン,ワッペンは無し),ピンク色のソックス,茶色いローファー),full body , standing</t>
    <phoneticPr fontId="6"/>
  </si>
  <si>
    <t>スコア_9,  最高品質,1人の大人の女性,( 茶色の背景、柔らかく均一な照明,被写体にピントが合っている),(濃い紫の髪,sidelocks,,folded ponytail, ゆるいカール),(紫の瞳,upturned eyes (tsurime), strong gaze, bold outlines,sexy lip), (きれいな肌,big breasts),(白い長そでシャツ,首元に大きな紫色のリボン,（紫色のフリル無しスカート),（無地の黒いベスト,ベストのボタンは縦一列で3個の金色ボタン,ワッペンは無し),(紫色のタイツ,茶色いローファー)、視聴者を見る,full body</t>
    <phoneticPr fontId="6"/>
  </si>
  <si>
    <t>スコア_9, solo, 最高品質,1人の大人の女性,(灰色の背景,柔らかく均一な照明,被写体にピントが合っている),(茶色の髪,two side up,光沢のある髪, シンメトリーな髪型),(茶色の瞳),(sexy lip), (きれいな肌,ぽっちゃり,very big breast),(白い長そでシャツ,首元に大きな茶色のリボン),(茶色プレーンスカート),(上質な黒で装飾なしのシンプル黒ベスト, 3つ金ボタン, 無地仕立て, ポケットなし, 縦一列ボタン),立っている,カウボーイショット</t>
    <phoneticPr fontId="6"/>
  </si>
  <si>
    <t>スコア_9,  最高品質,solo,一人の女の子,(こげ茶色の背景,柔らかく均一な照明),(被写体にピントが合っている),(little,face,tareme,slim,kawaii,子供っぽい),(low short twintails,耳が完全に出ている髪の長さ,耳が完全に見えている,ナイルグリーンの髪色,ナイルグリーンのヘアリボン) ,(ナイルグリーンの瞳),(きれいな肌,midium breasts),(白い半そでシャツ,首元に大きなナイルグリーンリボン,(ナイルグリーンのプリーツスカート),(黒いベスト,ベストのボタンは縦一列で3個の金色ボタン,ワッペンは無し), from front, looking at viewer,カウボーイショット,立っている,上半身の構図,自然な腕の位置、心配している</t>
    <phoneticPr fontId="6"/>
  </si>
  <si>
    <t>skart without Line decoration,no embleam,vest has 3 gold button ,bow tie stay</t>
    <phoneticPr fontId="6"/>
  </si>
  <si>
    <t>緋奈</t>
    <rPh sb="0" eb="2">
      <t>ヒナ</t>
    </rPh>
    <phoneticPr fontId="6"/>
  </si>
  <si>
    <t>藍</t>
    <rPh sb="0" eb="1">
      <t>アイ</t>
    </rPh>
    <phoneticPr fontId="6"/>
  </si>
  <si>
    <t>翠</t>
    <rPh sb="0" eb="1">
      <t>ミドリ</t>
    </rPh>
    <phoneticPr fontId="6"/>
  </si>
  <si>
    <t>こがね</t>
    <phoneticPr fontId="6"/>
  </si>
  <si>
    <t>琥珀</t>
    <rPh sb="0" eb="2">
      <t>コハク</t>
    </rPh>
    <phoneticPr fontId="6"/>
  </si>
  <si>
    <t>大道寺 真花</t>
  </si>
  <si>
    <t>氷神 雪乃</t>
  </si>
  <si>
    <t>双沢　美空</t>
    <phoneticPr fontId="6"/>
  </si>
  <si>
    <t>双沢　夜空</t>
    <phoneticPr fontId="6"/>
  </si>
  <si>
    <t>芝桜 桃</t>
  </si>
  <si>
    <t>紫藤 彩愛</t>
  </si>
  <si>
    <t>餅月里美</t>
    <rPh sb="0" eb="2">
      <t>モチヅキ</t>
    </rPh>
    <rPh sb="2" eb="4">
      <t>サトミ</t>
    </rPh>
    <phoneticPr fontId="6"/>
  </si>
  <si>
    <t>草壁　萌</t>
    <rPh sb="0" eb="2">
      <t>クサカベ</t>
    </rPh>
    <rPh sb="3" eb="4">
      <t>モエ</t>
    </rPh>
    <phoneticPr fontId="6"/>
  </si>
  <si>
    <t>上手くいかない場合はそもそもLORAがダメ</t>
    <rPh sb="0" eb="2">
      <t>ウマ</t>
    </rPh>
    <rPh sb="7" eb="9">
      <t>バアイ</t>
    </rPh>
    <phoneticPr fontId="6"/>
  </si>
  <si>
    <t>【基本の６つ】</t>
    <phoneticPr fontId="6"/>
  </si>
  <si>
    <t>a</t>
    <phoneticPr fontId="6"/>
  </si>
  <si>
    <t>b</t>
    <phoneticPr fontId="6"/>
  </si>
  <si>
    <t>c</t>
    <phoneticPr fontId="6"/>
  </si>
  <si>
    <t>d</t>
    <phoneticPr fontId="6"/>
  </si>
  <si>
    <t>e</t>
    <phoneticPr fontId="6"/>
  </si>
  <si>
    <t>f</t>
    <phoneticPr fontId="6"/>
  </si>
  <si>
    <t>g</t>
    <phoneticPr fontId="6"/>
  </si>
  <si>
    <t>h</t>
    <phoneticPr fontId="6"/>
  </si>
  <si>
    <t>i</t>
    <phoneticPr fontId="6"/>
  </si>
  <si>
    <t>j</t>
    <phoneticPr fontId="6"/>
  </si>
  <si>
    <t>k</t>
    <phoneticPr fontId="6"/>
  </si>
  <si>
    <t>l</t>
    <phoneticPr fontId="6"/>
  </si>
  <si>
    <t>m</t>
    <phoneticPr fontId="6"/>
  </si>
  <si>
    <t>①澄まし</t>
    <phoneticPr fontId="6"/>
  </si>
  <si>
    <t>from front, standing,カウボーイショット,目を細めた穏やかな微笑み,赤らめた頬,閉じた口,</t>
    <phoneticPr fontId="6"/>
  </si>
  <si>
    <t>②微笑み</t>
    <phoneticPr fontId="6"/>
  </si>
  <si>
    <t>from front, standing,カウボーイショット,怒っている</t>
    <phoneticPr fontId="6"/>
  </si>
  <si>
    <t>③怒り</t>
    <phoneticPr fontId="6"/>
  </si>
  <si>
    <t>from front, standing,カウボーイショット,悲しい表情,目に涙</t>
    <phoneticPr fontId="6"/>
  </si>
  <si>
    <t>④悲しみ(涙と視線を逸らす</t>
    <rPh sb="5" eb="6">
      <t>ナミダ</t>
    </rPh>
    <rPh sb="7" eb="9">
      <t>シセン</t>
    </rPh>
    <rPh sb="10" eb="11">
      <t>ソ</t>
    </rPh>
    <phoneticPr fontId="6"/>
  </si>
  <si>
    <t>from front, standing,カウボーイショット,最大の歓喜、(extreme joy:1.4), (ecstatic:1.3), (heartwarming:1.2)、輝く笑顔、両手を頬に</t>
    <phoneticPr fontId="6"/>
  </si>
  <si>
    <t>⑤笑顔</t>
    <phoneticPr fontId="6"/>
  </si>
  <si>
    <t>見開かれた瞳, 驚きで開いた口, 驚きで強張る表情, 後ずさる仕草</t>
    <phoneticPr fontId="6"/>
  </si>
  <si>
    <t>⑥驚き</t>
    <phoneticPr fontId="6"/>
  </si>
  <si>
    <t>見開かれた瞳,赤い頬,とても照れている,恥ずかしさで視線を下に逸らす</t>
    <phoneticPr fontId="6"/>
  </si>
  <si>
    <t>⑦照れ</t>
    <rPh sb="1" eb="2">
      <t>テ</t>
    </rPh>
    <phoneticPr fontId="6"/>
  </si>
  <si>
    <t>こっちを見ている, from front,カウボーイショット,立っている,慈愛に満ちた女性の表情、柔らかな微笑み、母性的な雰囲気</t>
    <phoneticPr fontId="6"/>
  </si>
  <si>
    <t>⑧期待(顎引き微笑み</t>
    <rPh sb="4" eb="6">
      <t>アゴヒ</t>
    </rPh>
    <rPh sb="7" eb="9">
      <t>ホホエ</t>
    </rPh>
    <phoneticPr fontId="6"/>
  </si>
  <si>
    <t>from front,自信に満ちた表情</t>
    <phoneticPr fontId="6"/>
  </si>
  <si>
    <t>⑨得意げ(顎だし笑顔</t>
    <rPh sb="1" eb="3">
      <t>トクイ</t>
    </rPh>
    <rPh sb="5" eb="6">
      <t>アゴ</t>
    </rPh>
    <rPh sb="8" eb="10">
      <t>エガオ</t>
    </rPh>
    <phoneticPr fontId="6"/>
  </si>
  <si>
    <t>見開かれた瞳, 驚きで開いた口, 驚きで強張る表情, 後ずさる仕草,嫌悪感</t>
    <rPh sb="34" eb="36">
      <t>ケンオ</t>
    </rPh>
    <rPh sb="36" eb="37">
      <t>カン</t>
    </rPh>
    <phoneticPr fontId="6"/>
  </si>
  <si>
    <t>⑩軽い嫌悪</t>
    <rPh sb="1" eb="2">
      <t>カル</t>
    </rPh>
    <phoneticPr fontId="6"/>
  </si>
  <si>
    <t>,視聴者をとても心配している表情,悲しそうな眉毛,少し開いた口,vest has 3 button</t>
    <phoneticPr fontId="6"/>
  </si>
  <si>
    <t xml:space="preserve">⑪心配不安(④に共通) </t>
    <rPh sb="8" eb="10">
      <t>キョウツウ</t>
    </rPh>
    <phoneticPr fontId="6"/>
  </si>
  <si>
    <t>焦り顔, 潤んだパニック目, 八の字眉, 震える唇, 光る汗, びくびくした表情, 慌てた雰囲気, 混乱した目線, 上気した肌, 緊張</t>
    <phoneticPr fontId="6"/>
  </si>
  <si>
    <t>⑫動揺</t>
    <phoneticPr fontId="6"/>
  </si>
  <si>
    <t>4ボタン仕様</t>
    <rPh sb="4" eb="6">
      <t>シヨウ</t>
    </rPh>
    <phoneticPr fontId="6"/>
  </si>
  <si>
    <t>⑬激怒</t>
    <phoneticPr fontId="6"/>
  </si>
  <si>
    <t>⑩恍惚</t>
  </si>
  <si>
    <t>99特別</t>
    <rPh sb="2" eb="4">
      <t>トクベツ</t>
    </rPh>
    <phoneticPr fontId="6"/>
  </si>
  <si>
    <t>嫌悪（物語のジャンルによって必要なし）</t>
    <phoneticPr fontId="6"/>
  </si>
  <si>
    <t>【基本にない感情】</t>
  </si>
  <si>
    <t>恐れ（物語のジャンルによって必要なし）</t>
    <phoneticPr fontId="6"/>
  </si>
  <si>
    <t>【細かい感情】</t>
  </si>
  <si>
    <t>⑮笑顔（目開き）</t>
  </si>
  <si>
    <t>⑯寝惚け・眠り</t>
  </si>
  <si>
    <t>⑰ウィンク</t>
  </si>
  <si>
    <t>⑱キス顔</t>
  </si>
  <si>
    <t>⑲＞＜（デフォルメ）</t>
  </si>
  <si>
    <t>⑳ぽやぽや（デフォルメ）</t>
  </si>
  <si>
    <t>【キャラクター性の表情】※パス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</si>
</sst>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rgb="FF9094A6"/>
      <name val="Times New Roman"/>
      <family val="1"/>
    </font>
    <font>
      <u/>
      <sz val="11"/>
      <color theme="0"/>
      <name val="ＭＳ Ｐゴシック"/>
      <family val="2"/>
      <charset val="128"/>
      <scheme val="minor"/>
    </font>
    <font>
      <u/>
      <sz val="11"/>
      <color rgb="FF9C0006"/>
      <name val="ＭＳ Ｐゴシック"/>
      <family val="2"/>
      <charset val="128"/>
      <scheme val="minor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ＭＳ Ｐゴシック"/>
      <family val="3"/>
      <charset val="128"/>
    </font>
    <font>
      <sz val="10"/>
      <color theme="1"/>
      <name val="ＭＳ Ｐゴシック"/>
      <family val="2"/>
      <charset val="128"/>
    </font>
    <font>
      <sz val="11"/>
      <color theme="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3" borderId="0" xfId="2">
      <alignment vertical="center"/>
    </xf>
    <xf numFmtId="0" fontId="7" fillId="0" borderId="0" xfId="0" applyFont="1">
      <alignment vertical="center"/>
    </xf>
    <xf numFmtId="0" fontId="5" fillId="5" borderId="0" xfId="2" applyFont="1" applyFill="1">
      <alignment vertical="center"/>
    </xf>
    <xf numFmtId="0" fontId="5" fillId="6" borderId="0" xfId="2" applyFont="1" applyFill="1">
      <alignment vertical="center"/>
    </xf>
    <xf numFmtId="0" fontId="5" fillId="7" borderId="0" xfId="2" applyFont="1" applyFill="1">
      <alignment vertical="center"/>
    </xf>
    <xf numFmtId="0" fontId="3" fillId="8" borderId="0" xfId="2" applyFill="1">
      <alignment vertical="center"/>
    </xf>
    <xf numFmtId="0" fontId="3" fillId="9" borderId="0" xfId="2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2" fillId="2" borderId="0" xfId="1">
      <alignment vertical="center"/>
    </xf>
    <xf numFmtId="0" fontId="8" fillId="6" borderId="0" xfId="2" applyFont="1" applyFill="1">
      <alignment vertical="center"/>
    </xf>
    <xf numFmtId="0" fontId="9" fillId="8" borderId="2" xfId="2" applyFont="1" applyFill="1" applyBorder="1">
      <alignment vertical="center"/>
    </xf>
    <xf numFmtId="0" fontId="10" fillId="0" borderId="3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1" fillId="10" borderId="3" xfId="0" applyFont="1" applyFill="1" applyBorder="1" applyAlignment="1">
      <alignment wrapText="1"/>
    </xf>
    <xf numFmtId="0" fontId="13" fillId="11" borderId="4" xfId="0" applyFont="1" applyFill="1" applyBorder="1" applyAlignment="1">
      <alignment wrapText="1"/>
    </xf>
    <xf numFmtId="0" fontId="2" fillId="2" borderId="4" xfId="1" applyBorder="1" applyAlignment="1">
      <alignment wrapText="1"/>
    </xf>
    <xf numFmtId="0" fontId="14" fillId="5" borderId="0" xfId="2" applyFont="1" applyFill="1">
      <alignment vertical="center"/>
    </xf>
    <xf numFmtId="0" fontId="15" fillId="0" borderId="0" xfId="0" applyFont="1">
      <alignment vertical="center"/>
    </xf>
    <xf numFmtId="0" fontId="3" fillId="4" borderId="1" xfId="3" applyFont="1">
      <alignment vertical="center"/>
    </xf>
    <xf numFmtId="0" fontId="4" fillId="0" borderId="0" xfId="0" applyFont="1">
      <alignment vertical="center"/>
    </xf>
    <xf numFmtId="0" fontId="2" fillId="4" borderId="1" xfId="3" applyFont="1">
      <alignment vertical="center"/>
    </xf>
  </cellXfs>
  <cellStyles count="4">
    <cellStyle name="メモ" xfId="3" builtinId="10"/>
    <cellStyle name="悪い" xfId="2" builtinId="27"/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4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14" sqref="A14"/>
    </sheetView>
  </sheetViews>
  <sheetFormatPr defaultRowHeight="21" customHeight="1" x14ac:dyDescent="0.15"/>
  <cols>
    <col min="2" max="2" width="37.625" bestFit="1" customWidth="1"/>
    <col min="7" max="7" width="13.125" customWidth="1"/>
    <col min="8" max="8" width="12.5" bestFit="1" customWidth="1"/>
    <col min="9" max="9" width="37.625" bestFit="1" customWidth="1"/>
  </cols>
  <sheetData>
    <row r="1" spans="1:17" ht="21" customHeight="1" x14ac:dyDescent="0.15">
      <c r="B1" t="s">
        <v>0</v>
      </c>
      <c r="C1" s="1" t="s">
        <v>1</v>
      </c>
      <c r="D1" s="1" t="s">
        <v>2</v>
      </c>
      <c r="E1" t="s">
        <v>3</v>
      </c>
      <c r="F1" t="s">
        <v>3</v>
      </c>
      <c r="G1" t="s">
        <v>3</v>
      </c>
      <c r="H1" s="1" t="s">
        <v>1</v>
      </c>
      <c r="I1" t="s">
        <v>4</v>
      </c>
      <c r="J1" t="s">
        <v>3</v>
      </c>
      <c r="K1" t="s">
        <v>3</v>
      </c>
      <c r="L1" s="1" t="s">
        <v>2</v>
      </c>
      <c r="M1" t="s">
        <v>4</v>
      </c>
      <c r="N1" s="1" t="s">
        <v>2</v>
      </c>
      <c r="O1" s="1" t="s">
        <v>1</v>
      </c>
      <c r="Q1" t="s">
        <v>5</v>
      </c>
    </row>
    <row r="2" spans="1:17" ht="21" customHeight="1" thickBot="1" x14ac:dyDescent="0.2">
      <c r="B2" s="2" t="s">
        <v>6</v>
      </c>
      <c r="C2" s="3"/>
      <c r="D2" s="4" t="s">
        <v>7</v>
      </c>
      <c r="E2" s="5" t="s">
        <v>8</v>
      </c>
      <c r="F2" s="6" t="s">
        <v>9</v>
      </c>
      <c r="G2" s="7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s="8" t="s">
        <v>16</v>
      </c>
      <c r="N2" s="9" t="s">
        <v>17</v>
      </c>
      <c r="O2" s="10" t="s">
        <v>18</v>
      </c>
    </row>
    <row r="3" spans="1:17" ht="21" customHeight="1" thickBot="1" x14ac:dyDescent="0.25">
      <c r="B3" s="2" t="s">
        <v>19</v>
      </c>
      <c r="C3" s="3" t="s">
        <v>20</v>
      </c>
      <c r="D3" s="11" t="s">
        <v>21</v>
      </c>
      <c r="E3" s="5" t="s">
        <v>22</v>
      </c>
      <c r="F3" s="12" t="s">
        <v>23</v>
      </c>
      <c r="G3" s="7" t="s">
        <v>24</v>
      </c>
      <c r="H3" s="13" t="s">
        <v>25</v>
      </c>
      <c r="I3" s="14" t="s">
        <v>26</v>
      </c>
      <c r="J3" s="15" t="s">
        <v>27</v>
      </c>
      <c r="K3" s="15" t="s">
        <v>28</v>
      </c>
      <c r="L3" s="14" t="s">
        <v>29</v>
      </c>
      <c r="M3" s="16" t="s">
        <v>30</v>
      </c>
      <c r="N3" s="17" t="s">
        <v>31</v>
      </c>
      <c r="O3" s="18" t="s">
        <v>32</v>
      </c>
      <c r="Q3" t="s">
        <v>33</v>
      </c>
    </row>
    <row r="4" spans="1:17" ht="21" customHeight="1" x14ac:dyDescent="0.15">
      <c r="B4" t="s">
        <v>34</v>
      </c>
      <c r="C4" s="19" t="s">
        <v>35</v>
      </c>
      <c r="D4" s="4" t="s">
        <v>36</v>
      </c>
      <c r="E4" s="5" t="s">
        <v>37</v>
      </c>
      <c r="F4" s="6" t="s">
        <v>38</v>
      </c>
      <c r="G4" s="7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s="8" t="s">
        <v>45</v>
      </c>
      <c r="N4" s="9" t="s">
        <v>46</v>
      </c>
      <c r="O4" s="10" t="s">
        <v>47</v>
      </c>
    </row>
    <row r="5" spans="1:17" ht="21" customHeight="1" x14ac:dyDescent="0.15">
      <c r="B5" s="20" t="s">
        <v>48</v>
      </c>
      <c r="C5">
        <v>1</v>
      </c>
      <c r="D5">
        <v>1</v>
      </c>
      <c r="E5">
        <v>3</v>
      </c>
      <c r="F5">
        <v>1</v>
      </c>
      <c r="G5">
        <v>1</v>
      </c>
      <c r="H5" s="21">
        <v>1</v>
      </c>
      <c r="I5">
        <v>1</v>
      </c>
      <c r="K5">
        <v>1</v>
      </c>
      <c r="L5">
        <v>1</v>
      </c>
      <c r="N5">
        <v>1</v>
      </c>
      <c r="O5">
        <v>1</v>
      </c>
    </row>
    <row r="6" spans="1:17" ht="21" customHeight="1" x14ac:dyDescent="0.15">
      <c r="A6" t="s">
        <v>49</v>
      </c>
      <c r="B6" s="20" t="s">
        <v>50</v>
      </c>
      <c r="C6">
        <v>1</v>
      </c>
      <c r="D6">
        <v>1</v>
      </c>
      <c r="E6">
        <v>1</v>
      </c>
      <c r="F6">
        <v>1</v>
      </c>
      <c r="G6">
        <v>1</v>
      </c>
      <c r="H6" s="21">
        <v>1</v>
      </c>
      <c r="N6">
        <v>1</v>
      </c>
      <c r="O6">
        <v>1</v>
      </c>
    </row>
    <row r="7" spans="1:17" ht="21" customHeight="1" x14ac:dyDescent="0.15">
      <c r="A7" t="s">
        <v>51</v>
      </c>
      <c r="B7" s="20" t="s">
        <v>52</v>
      </c>
      <c r="C7">
        <v>2</v>
      </c>
      <c r="D7">
        <v>1</v>
      </c>
      <c r="E7">
        <v>3</v>
      </c>
      <c r="F7">
        <v>2</v>
      </c>
      <c r="G7">
        <v>1</v>
      </c>
      <c r="H7" s="21">
        <v>1</v>
      </c>
      <c r="L7">
        <v>1</v>
      </c>
      <c r="N7">
        <v>1</v>
      </c>
      <c r="O7">
        <v>1</v>
      </c>
    </row>
    <row r="8" spans="1:17" ht="21" customHeight="1" x14ac:dyDescent="0.15">
      <c r="A8" t="s">
        <v>53</v>
      </c>
      <c r="B8" s="20" t="s">
        <v>54</v>
      </c>
      <c r="C8">
        <v>1</v>
      </c>
      <c r="D8">
        <v>1</v>
      </c>
      <c r="E8">
        <v>1</v>
      </c>
      <c r="F8">
        <v>1</v>
      </c>
      <c r="G8">
        <v>1</v>
      </c>
      <c r="H8" s="21">
        <v>1</v>
      </c>
      <c r="N8">
        <v>1</v>
      </c>
      <c r="O8">
        <v>1</v>
      </c>
    </row>
    <row r="9" spans="1:17" ht="21" customHeight="1" x14ac:dyDescent="0.15">
      <c r="A9" t="s">
        <v>55</v>
      </c>
      <c r="B9" s="20" t="s">
        <v>56</v>
      </c>
      <c r="C9">
        <v>1</v>
      </c>
      <c r="D9">
        <v>1</v>
      </c>
      <c r="E9">
        <v>1</v>
      </c>
      <c r="F9">
        <v>1</v>
      </c>
      <c r="G9">
        <v>1</v>
      </c>
      <c r="N9">
        <v>1</v>
      </c>
      <c r="O9">
        <v>1</v>
      </c>
    </row>
    <row r="10" spans="1:17" ht="21" customHeight="1" x14ac:dyDescent="0.15">
      <c r="A10" t="s">
        <v>57</v>
      </c>
      <c r="B10" s="20" t="s">
        <v>58</v>
      </c>
      <c r="C10">
        <v>2</v>
      </c>
      <c r="D10">
        <v>1</v>
      </c>
      <c r="E10">
        <v>1</v>
      </c>
      <c r="F10">
        <v>2</v>
      </c>
      <c r="G10">
        <v>1</v>
      </c>
      <c r="N10">
        <v>1</v>
      </c>
      <c r="O10">
        <v>1</v>
      </c>
    </row>
    <row r="11" spans="1:17" ht="21" customHeight="1" x14ac:dyDescent="0.15">
      <c r="A11" t="s">
        <v>59</v>
      </c>
      <c r="B11" s="20" t="s">
        <v>60</v>
      </c>
      <c r="C11">
        <v>1</v>
      </c>
      <c r="D11">
        <v>1</v>
      </c>
      <c r="E11">
        <v>2</v>
      </c>
      <c r="F11">
        <v>1</v>
      </c>
      <c r="G11">
        <v>1</v>
      </c>
      <c r="H11" s="21">
        <v>1</v>
      </c>
      <c r="L11">
        <v>1</v>
      </c>
      <c r="N11">
        <v>1</v>
      </c>
      <c r="O11">
        <v>1</v>
      </c>
    </row>
    <row r="12" spans="1:17" ht="21" customHeight="1" x14ac:dyDescent="0.15">
      <c r="A12" t="s">
        <v>61</v>
      </c>
      <c r="B12" s="20" t="s">
        <v>62</v>
      </c>
      <c r="C12">
        <v>2</v>
      </c>
      <c r="D12">
        <v>1</v>
      </c>
      <c r="E12">
        <v>1</v>
      </c>
      <c r="F12">
        <v>1</v>
      </c>
      <c r="G12">
        <v>1</v>
      </c>
      <c r="H12" s="21">
        <v>1</v>
      </c>
      <c r="N12">
        <v>1</v>
      </c>
      <c r="O12">
        <v>1</v>
      </c>
    </row>
    <row r="13" spans="1:17" ht="21" customHeight="1" x14ac:dyDescent="0.15">
      <c r="A13" s="20" t="s">
        <v>63</v>
      </c>
      <c r="B13" s="20" t="s">
        <v>64</v>
      </c>
      <c r="C13">
        <v>1</v>
      </c>
      <c r="D13">
        <v>1</v>
      </c>
      <c r="E13" s="22">
        <v>1</v>
      </c>
      <c r="F13">
        <v>1</v>
      </c>
      <c r="G13" s="22">
        <v>1</v>
      </c>
      <c r="N13">
        <v>1</v>
      </c>
      <c r="O13">
        <v>2</v>
      </c>
    </row>
    <row r="14" spans="1:17" ht="21" customHeight="1" x14ac:dyDescent="0.15">
      <c r="A14" t="s">
        <v>65</v>
      </c>
      <c r="B14" t="s">
        <v>66</v>
      </c>
      <c r="C14">
        <v>1</v>
      </c>
      <c r="D14">
        <v>1</v>
      </c>
      <c r="E14">
        <v>1</v>
      </c>
      <c r="F14">
        <v>1</v>
      </c>
      <c r="G14">
        <v>1</v>
      </c>
      <c r="N14">
        <v>1</v>
      </c>
      <c r="O14">
        <v>1</v>
      </c>
    </row>
    <row r="15" spans="1:17" ht="21" customHeight="1" x14ac:dyDescent="0.15">
      <c r="A15" t="s">
        <v>67</v>
      </c>
      <c r="B15" s="20" t="s">
        <v>68</v>
      </c>
      <c r="C15">
        <v>1</v>
      </c>
      <c r="D15">
        <v>1</v>
      </c>
      <c r="E15" s="1">
        <v>1</v>
      </c>
      <c r="F15">
        <v>1</v>
      </c>
      <c r="G15">
        <v>1</v>
      </c>
      <c r="H15">
        <v>1</v>
      </c>
      <c r="N15">
        <v>1</v>
      </c>
      <c r="O15">
        <v>2</v>
      </c>
    </row>
    <row r="16" spans="1:17" ht="21" customHeight="1" x14ac:dyDescent="0.15">
      <c r="A16" t="s">
        <v>69</v>
      </c>
      <c r="B16" s="20" t="s">
        <v>70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L16">
        <v>1</v>
      </c>
      <c r="N16">
        <v>1</v>
      </c>
      <c r="O16">
        <v>1</v>
      </c>
    </row>
    <row r="17" spans="2:9" ht="21" customHeight="1" x14ac:dyDescent="0.15">
      <c r="H17" s="23" t="s">
        <v>71</v>
      </c>
      <c r="I17" s="23" t="s">
        <v>71</v>
      </c>
    </row>
    <row r="19" spans="2:9" ht="21" customHeight="1" x14ac:dyDescent="0.15">
      <c r="B19" t="s">
        <v>72</v>
      </c>
      <c r="E19">
        <v>1</v>
      </c>
    </row>
    <row r="20" spans="2:9" ht="21" customHeight="1" x14ac:dyDescent="0.15">
      <c r="B20" t="s">
        <v>73</v>
      </c>
    </row>
    <row r="21" spans="2:9" ht="21" customHeight="1" x14ac:dyDescent="0.15">
      <c r="B21" t="s">
        <v>74</v>
      </c>
    </row>
    <row r="22" spans="2:9" ht="21" customHeight="1" x14ac:dyDescent="0.15">
      <c r="B22" t="s">
        <v>75</v>
      </c>
    </row>
    <row r="23" spans="2:9" ht="21" customHeight="1" x14ac:dyDescent="0.15">
      <c r="B23" t="s">
        <v>76</v>
      </c>
    </row>
    <row r="24" spans="2:9" ht="21" customHeight="1" x14ac:dyDescent="0.15">
      <c r="B24" t="s">
        <v>77</v>
      </c>
    </row>
    <row r="26" spans="2:9" ht="21" customHeight="1" x14ac:dyDescent="0.15">
      <c r="B26" t="s">
        <v>78</v>
      </c>
    </row>
    <row r="27" spans="2:9" ht="21" customHeight="1" x14ac:dyDescent="0.15">
      <c r="B27" t="s">
        <v>79</v>
      </c>
    </row>
    <row r="28" spans="2:9" ht="21" customHeight="1" x14ac:dyDescent="0.15">
      <c r="B28" t="s">
        <v>80</v>
      </c>
    </row>
    <row r="29" spans="2:9" ht="21" customHeight="1" x14ac:dyDescent="0.15">
      <c r="B29" t="s">
        <v>81</v>
      </c>
    </row>
    <row r="30" spans="2:9" ht="21" customHeight="1" x14ac:dyDescent="0.15">
      <c r="B30" t="s">
        <v>82</v>
      </c>
    </row>
    <row r="31" spans="2:9" ht="21" customHeight="1" x14ac:dyDescent="0.15">
      <c r="B31" t="s">
        <v>83</v>
      </c>
    </row>
    <row r="32" spans="2:9" ht="21" customHeight="1" x14ac:dyDescent="0.15">
      <c r="B32" t="s">
        <v>84</v>
      </c>
    </row>
    <row r="36" spans="2:4" ht="21" customHeight="1" x14ac:dyDescent="0.15">
      <c r="B36" t="s">
        <v>85</v>
      </c>
    </row>
    <row r="40" spans="2:4" ht="21" customHeight="1" x14ac:dyDescent="0.15">
      <c r="C40">
        <v>810</v>
      </c>
      <c r="D40">
        <v>1440</v>
      </c>
    </row>
    <row r="41" spans="2:4" ht="21" customHeight="1" x14ac:dyDescent="0.15">
      <c r="C41">
        <f>C40*D42</f>
        <v>864</v>
      </c>
      <c r="D41">
        <v>1536</v>
      </c>
    </row>
    <row r="42" spans="2:4" ht="21" customHeight="1" x14ac:dyDescent="0.15">
      <c r="D42">
        <f>D41/D40</f>
        <v>1.0666666666666667</v>
      </c>
    </row>
  </sheetData>
  <phoneticPr fontId="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立ち差分 (250813)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2025-08-12T21:52:48Z</dcterms:created>
  <dcterms:modified xsi:type="dcterms:W3CDTF">2025-08-12T21:53:23Z</dcterms:modified>
</cp:coreProperties>
</file>